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105" windowWidth="12765" windowHeight="571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BJ8" i="1"/>
  <c r="BK29"/>
  <c r="BJ43"/>
  <c r="BJ37"/>
  <c r="BJ31"/>
  <c r="BJ19"/>
  <c r="BJ2"/>
  <c r="BK47"/>
  <c r="BK41"/>
  <c r="BK35"/>
  <c r="BK23"/>
  <c r="BK17"/>
  <c r="BK6"/>
  <c r="BJ25"/>
  <c r="BJ13" l="1"/>
  <c r="BJ49" s="1"/>
  <c r="BK49"/>
</calcChain>
</file>

<file path=xl/comments1.xml><?xml version="1.0" encoding="utf-8"?>
<comments xmlns="http://schemas.openxmlformats.org/spreadsheetml/2006/main">
  <authors>
    <author>Administrator</author>
    <author>ray chen</author>
  </authors>
  <commentList>
    <comment ref="B2" author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金额中包括交易费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是真实的成交金额</t>
        </r>
      </text>
    </comment>
    <comment ref="B3" author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单价就是成交价，不包含交易费</t>
        </r>
      </text>
    </comment>
    <comment ref="B8" author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金额中包括交易费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是真实的成交金额</t>
        </r>
      </text>
    </comment>
    <comment ref="BH8" authorId="1">
      <text>
        <r>
          <rPr>
            <b/>
            <sz val="9"/>
            <color indexed="81"/>
            <rFont val="Tahoma"/>
            <family val="2"/>
          </rPr>
          <t>ray chen: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不包含交易费</t>
        </r>
      </text>
    </comment>
    <comment ref="B9" author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单价就是成交价，不包含交易费</t>
        </r>
      </text>
    </comment>
    <comment ref="BH9" authorId="1">
      <text>
        <r>
          <rPr>
            <b/>
            <sz val="9"/>
            <color indexed="81"/>
            <rFont val="Tahoma"/>
            <family val="2"/>
          </rPr>
          <t>ray chen:</t>
        </r>
        <r>
          <rPr>
            <sz val="9"/>
            <color indexed="81"/>
            <rFont val="Tahoma"/>
            <family val="2"/>
          </rPr>
          <t xml:space="preserve">
42.7</t>
        </r>
        <r>
          <rPr>
            <sz val="9"/>
            <color indexed="81"/>
            <rFont val="宋体"/>
            <family val="3"/>
            <charset val="134"/>
          </rPr>
          <t>港币</t>
        </r>
        <r>
          <rPr>
            <sz val="9"/>
            <color indexed="81"/>
            <rFont val="Tahoma"/>
            <family val="2"/>
          </rPr>
          <t>*0.9369</t>
        </r>
      </text>
    </comment>
    <comment ref="AT13" authorId="1">
      <text>
        <r>
          <rPr>
            <b/>
            <sz val="9"/>
            <color indexed="81"/>
            <rFont val="Tahoma"/>
            <family val="2"/>
          </rPr>
          <t>ray chen: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不包含交易费</t>
        </r>
      </text>
    </comment>
    <comment ref="AU19" authorId="1">
      <text>
        <r>
          <rPr>
            <b/>
            <sz val="9"/>
            <color indexed="81"/>
            <rFont val="Tahoma"/>
            <family val="2"/>
          </rPr>
          <t>ray chen: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美团</t>
        </r>
        <r>
          <rPr>
            <sz val="9"/>
            <color indexed="81"/>
            <rFont val="Tahoma"/>
            <family val="2"/>
          </rPr>
          <t xml:space="preserve"> -100</t>
        </r>
      </text>
    </comment>
    <comment ref="AV19" authorId="1">
      <text>
        <r>
          <rPr>
            <b/>
            <sz val="9"/>
            <color indexed="81"/>
            <rFont val="Tahoma"/>
            <family val="2"/>
          </rPr>
          <t>ray chen: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京东</t>
        </r>
        <r>
          <rPr>
            <sz val="9"/>
            <color indexed="81"/>
            <rFont val="Tahoma"/>
            <family val="2"/>
          </rPr>
          <t xml:space="preserve"> -50
</t>
        </r>
        <r>
          <rPr>
            <sz val="9"/>
            <color indexed="81"/>
            <rFont val="宋体"/>
            <family val="3"/>
            <charset val="134"/>
          </rPr>
          <t>美团</t>
        </r>
        <r>
          <rPr>
            <sz val="9"/>
            <color indexed="81"/>
            <rFont val="Tahoma"/>
            <family val="2"/>
          </rPr>
          <t xml:space="preserve"> -50</t>
        </r>
      </text>
    </comment>
    <comment ref="Z23" authorId="1">
      <text>
        <r>
          <rPr>
            <b/>
            <sz val="9"/>
            <color indexed="81"/>
            <rFont val="Tahoma"/>
            <family val="2"/>
          </rPr>
          <t>ray chen:</t>
        </r>
        <r>
          <rPr>
            <sz val="9"/>
            <color indexed="81"/>
            <rFont val="Tahoma"/>
            <family val="2"/>
          </rPr>
          <t xml:space="preserve">
1411+192</t>
        </r>
        <r>
          <rPr>
            <sz val="9"/>
            <color indexed="81"/>
            <rFont val="宋体"/>
            <family val="3"/>
            <charset val="134"/>
          </rPr>
          <t>（京东）</t>
        </r>
      </text>
    </comment>
  </commentList>
</comments>
</file>

<file path=xl/sharedStrings.xml><?xml version="1.0" encoding="utf-8"?>
<sst xmlns="http://schemas.openxmlformats.org/spreadsheetml/2006/main" count="67" uniqueCount="35">
  <si>
    <t>中国平安</t>
    <phoneticPr fontId="1" type="noConversion"/>
  </si>
  <si>
    <t>金额</t>
    <phoneticPr fontId="1" type="noConversion"/>
  </si>
  <si>
    <t>单价</t>
    <phoneticPr fontId="1" type="noConversion"/>
  </si>
  <si>
    <t>成交量</t>
    <phoneticPr fontId="1" type="noConversion"/>
  </si>
  <si>
    <t>交易费</t>
    <phoneticPr fontId="1" type="noConversion"/>
  </si>
  <si>
    <t>小米集团</t>
    <phoneticPr fontId="1" type="noConversion"/>
  </si>
  <si>
    <t>分众传媒</t>
    <phoneticPr fontId="1" type="noConversion"/>
  </si>
  <si>
    <t>腾讯控股</t>
    <phoneticPr fontId="1" type="noConversion"/>
  </si>
  <si>
    <t>陕西煤业</t>
    <phoneticPr fontId="1" type="noConversion"/>
  </si>
  <si>
    <r>
      <t>397.17</t>
    </r>
    <r>
      <rPr>
        <sz val="11"/>
        <color theme="1"/>
        <rFont val="宋体"/>
        <family val="3"/>
        <charset val="134"/>
      </rPr>
      <t>元</t>
    </r>
    <r>
      <rPr>
        <sz val="11"/>
        <color theme="1"/>
        <rFont val="Tahoma"/>
        <family val="2"/>
        <charset val="134"/>
      </rPr>
      <t>(483</t>
    </r>
    <r>
      <rPr>
        <sz val="11"/>
        <color theme="1"/>
        <rFont val="宋体"/>
        <family val="3"/>
        <charset val="134"/>
      </rPr>
      <t>港元</t>
    </r>
    <r>
      <rPr>
        <sz val="11"/>
        <color theme="1"/>
        <rFont val="Tahoma"/>
        <family val="2"/>
        <charset val="134"/>
      </rPr>
      <t>)</t>
    </r>
    <phoneticPr fontId="1" type="noConversion"/>
  </si>
  <si>
    <r>
      <t>383.1</t>
    </r>
    <r>
      <rPr>
        <sz val="11"/>
        <color theme="1"/>
        <rFont val="宋体"/>
        <family val="3"/>
        <charset val="134"/>
      </rPr>
      <t>元</t>
    </r>
    <r>
      <rPr>
        <sz val="11"/>
        <color theme="1"/>
        <rFont val="Tahoma"/>
        <family val="2"/>
        <charset val="134"/>
      </rPr>
      <t>(466</t>
    </r>
    <r>
      <rPr>
        <sz val="11"/>
        <color theme="1"/>
        <rFont val="宋体"/>
        <family val="3"/>
        <charset val="134"/>
      </rPr>
      <t>港元</t>
    </r>
    <r>
      <rPr>
        <sz val="11"/>
        <color theme="1"/>
        <rFont val="Tahoma"/>
        <family val="2"/>
        <charset val="134"/>
      </rPr>
      <t>)</t>
    </r>
    <phoneticPr fontId="1" type="noConversion"/>
  </si>
  <si>
    <t>格力电器</t>
    <phoneticPr fontId="1" type="noConversion"/>
  </si>
  <si>
    <r>
      <t>17.29</t>
    </r>
    <r>
      <rPr>
        <sz val="11"/>
        <color theme="1"/>
        <rFont val="宋体"/>
        <family val="3"/>
        <charset val="134"/>
      </rPr>
      <t>元</t>
    </r>
    <r>
      <rPr>
        <sz val="11"/>
        <color theme="1"/>
        <rFont val="Tahoma"/>
        <family val="2"/>
        <charset val="134"/>
      </rPr>
      <t>(20.9</t>
    </r>
    <r>
      <rPr>
        <sz val="11"/>
        <color theme="1"/>
        <rFont val="宋体"/>
        <family val="3"/>
        <charset val="134"/>
      </rPr>
      <t>港元</t>
    </r>
    <r>
      <rPr>
        <sz val="11"/>
        <color theme="1"/>
        <rFont val="Tahoma"/>
        <family val="2"/>
        <charset val="134"/>
      </rPr>
      <t>)</t>
    </r>
    <phoneticPr fontId="1" type="noConversion"/>
  </si>
  <si>
    <r>
      <t>16.48</t>
    </r>
    <r>
      <rPr>
        <sz val="11"/>
        <color theme="1"/>
        <rFont val="宋体"/>
        <family val="3"/>
        <charset val="134"/>
      </rPr>
      <t>元</t>
    </r>
    <r>
      <rPr>
        <sz val="11"/>
        <color theme="1"/>
        <rFont val="Tahoma"/>
        <family val="2"/>
        <charset val="134"/>
      </rPr>
      <t>(20.1</t>
    </r>
    <r>
      <rPr>
        <sz val="11"/>
        <color theme="1"/>
        <rFont val="宋体"/>
        <family val="3"/>
        <charset val="134"/>
      </rPr>
      <t>港元</t>
    </r>
    <r>
      <rPr>
        <sz val="11"/>
        <color theme="1"/>
        <rFont val="Tahoma"/>
        <family val="2"/>
        <charset val="134"/>
      </rPr>
      <t>)</t>
    </r>
    <phoneticPr fontId="1" type="noConversion"/>
  </si>
  <si>
    <r>
      <t>16.03</t>
    </r>
    <r>
      <rPr>
        <sz val="11"/>
        <color theme="1"/>
        <rFont val="宋体"/>
        <family val="3"/>
        <charset val="134"/>
      </rPr>
      <t>元</t>
    </r>
    <r>
      <rPr>
        <sz val="11"/>
        <color theme="1"/>
        <rFont val="Tahoma"/>
        <family val="2"/>
        <charset val="134"/>
      </rPr>
      <t>(19.56</t>
    </r>
    <r>
      <rPr>
        <sz val="11"/>
        <color theme="1"/>
        <rFont val="宋体"/>
        <family val="3"/>
        <charset val="134"/>
      </rPr>
      <t>港元</t>
    </r>
    <r>
      <rPr>
        <sz val="11"/>
        <color theme="1"/>
        <rFont val="Tahoma"/>
        <family val="2"/>
        <charset val="134"/>
      </rPr>
      <t>)</t>
    </r>
    <phoneticPr fontId="1" type="noConversion"/>
  </si>
  <si>
    <r>
      <t>380.3</t>
    </r>
    <r>
      <rPr>
        <sz val="11"/>
        <color theme="1"/>
        <rFont val="宋体"/>
        <family val="3"/>
        <charset val="134"/>
      </rPr>
      <t>元</t>
    </r>
    <r>
      <rPr>
        <sz val="11"/>
        <color theme="1"/>
        <rFont val="Tahoma"/>
        <family val="2"/>
        <charset val="134"/>
      </rPr>
      <t>(464</t>
    </r>
    <r>
      <rPr>
        <sz val="11"/>
        <color theme="1"/>
        <rFont val="宋体"/>
        <family val="3"/>
        <charset val="134"/>
      </rPr>
      <t>港元</t>
    </r>
    <r>
      <rPr>
        <sz val="11"/>
        <color theme="1"/>
        <rFont val="Tahoma"/>
        <family val="2"/>
        <charset val="134"/>
      </rPr>
      <t>)</t>
    </r>
    <phoneticPr fontId="1" type="noConversion"/>
  </si>
  <si>
    <r>
      <t>379</t>
    </r>
    <r>
      <rPr>
        <sz val="11"/>
        <color theme="1"/>
        <rFont val="宋体"/>
        <family val="3"/>
        <charset val="134"/>
      </rPr>
      <t>元</t>
    </r>
    <r>
      <rPr>
        <sz val="11"/>
        <color theme="1"/>
        <rFont val="Tahoma"/>
        <family val="2"/>
        <charset val="134"/>
      </rPr>
      <t>(462.2</t>
    </r>
    <r>
      <rPr>
        <sz val="11"/>
        <color theme="1"/>
        <rFont val="宋体"/>
        <family val="3"/>
        <charset val="134"/>
      </rPr>
      <t>港元</t>
    </r>
    <r>
      <rPr>
        <sz val="11"/>
        <color theme="1"/>
        <rFont val="Tahoma"/>
        <family val="2"/>
        <charset val="134"/>
      </rPr>
      <t>)</t>
    </r>
    <phoneticPr fontId="1" type="noConversion"/>
  </si>
  <si>
    <r>
      <t>373.7</t>
    </r>
    <r>
      <rPr>
        <sz val="11"/>
        <color theme="1"/>
        <rFont val="宋体"/>
        <family val="3"/>
        <charset val="134"/>
      </rPr>
      <t>元</t>
    </r>
    <r>
      <rPr>
        <sz val="11"/>
        <color theme="1"/>
        <rFont val="Tahoma"/>
        <family val="2"/>
        <charset val="134"/>
      </rPr>
      <t>(456.8</t>
    </r>
    <r>
      <rPr>
        <sz val="11"/>
        <color theme="1"/>
        <rFont val="宋体"/>
        <family val="3"/>
        <charset val="134"/>
      </rPr>
      <t>港元</t>
    </r>
    <r>
      <rPr>
        <sz val="11"/>
        <color theme="1"/>
        <rFont val="Tahoma"/>
        <family val="2"/>
        <charset val="134"/>
      </rPr>
      <t>)</t>
    </r>
    <phoneticPr fontId="1" type="noConversion"/>
  </si>
  <si>
    <r>
      <t>367.6</t>
    </r>
    <r>
      <rPr>
        <sz val="11"/>
        <color theme="1"/>
        <rFont val="宋体"/>
        <family val="3"/>
        <charset val="134"/>
      </rPr>
      <t>元</t>
    </r>
    <r>
      <rPr>
        <sz val="11"/>
        <color theme="1"/>
        <rFont val="Tahoma"/>
        <family val="2"/>
        <charset val="134"/>
      </rPr>
      <t>(450.2</t>
    </r>
    <r>
      <rPr>
        <sz val="11"/>
        <color theme="1"/>
        <rFont val="宋体"/>
        <family val="3"/>
        <charset val="134"/>
      </rPr>
      <t>港元</t>
    </r>
    <r>
      <rPr>
        <sz val="11"/>
        <color theme="1"/>
        <rFont val="Tahoma"/>
        <family val="2"/>
        <charset val="134"/>
      </rPr>
      <t>)</t>
    </r>
    <phoneticPr fontId="1" type="noConversion"/>
  </si>
  <si>
    <r>
      <t>15.19</t>
    </r>
    <r>
      <rPr>
        <sz val="11"/>
        <color theme="1"/>
        <rFont val="宋体"/>
        <family val="3"/>
        <charset val="134"/>
      </rPr>
      <t>元</t>
    </r>
    <r>
      <rPr>
        <sz val="11"/>
        <color theme="1"/>
        <rFont val="Tahoma"/>
        <family val="2"/>
        <charset val="134"/>
      </rPr>
      <t>(18.6</t>
    </r>
    <r>
      <rPr>
        <sz val="11"/>
        <color theme="1"/>
        <rFont val="宋体"/>
        <family val="3"/>
        <charset val="134"/>
      </rPr>
      <t>港元</t>
    </r>
    <r>
      <rPr>
        <sz val="11"/>
        <color theme="1"/>
        <rFont val="Tahoma"/>
        <family val="2"/>
        <charset val="134"/>
      </rPr>
      <t>)</t>
    </r>
    <phoneticPr fontId="1" type="noConversion"/>
  </si>
  <si>
    <r>
      <t>371.5</t>
    </r>
    <r>
      <rPr>
        <sz val="11"/>
        <color theme="1"/>
        <rFont val="宋体"/>
        <family val="3"/>
        <charset val="134"/>
      </rPr>
      <t>元</t>
    </r>
    <r>
      <rPr>
        <sz val="11"/>
        <color theme="1"/>
        <rFont val="Tahoma"/>
        <family val="2"/>
        <charset val="134"/>
      </rPr>
      <t>(455.2</t>
    </r>
    <r>
      <rPr>
        <sz val="11"/>
        <color theme="1"/>
        <rFont val="宋体"/>
        <family val="3"/>
        <charset val="134"/>
      </rPr>
      <t>港元</t>
    </r>
    <r>
      <rPr>
        <sz val="11"/>
        <color theme="1"/>
        <rFont val="Tahoma"/>
        <family val="2"/>
        <charset val="134"/>
      </rPr>
      <t>)</t>
    </r>
    <phoneticPr fontId="1" type="noConversion"/>
  </si>
  <si>
    <r>
      <t>356.08</t>
    </r>
    <r>
      <rPr>
        <sz val="11"/>
        <color theme="1"/>
        <rFont val="宋体"/>
        <family val="3"/>
        <charset val="134"/>
      </rPr>
      <t>元</t>
    </r>
    <r>
      <rPr>
        <sz val="11"/>
        <color theme="1"/>
        <rFont val="Tahoma"/>
        <family val="2"/>
        <charset val="134"/>
      </rPr>
      <t>(435.2</t>
    </r>
    <r>
      <rPr>
        <sz val="11"/>
        <color theme="1"/>
        <rFont val="宋体"/>
        <family val="3"/>
        <charset val="134"/>
      </rPr>
      <t>港元</t>
    </r>
    <r>
      <rPr>
        <sz val="11"/>
        <color theme="1"/>
        <rFont val="Tahoma"/>
        <family val="2"/>
        <charset val="134"/>
      </rPr>
      <t>)</t>
    </r>
    <phoneticPr fontId="1" type="noConversion"/>
  </si>
  <si>
    <t>洋河股份</t>
    <phoneticPr fontId="1" type="noConversion"/>
  </si>
  <si>
    <t>分红</t>
    <phoneticPr fontId="1" type="noConversion"/>
  </si>
  <si>
    <r>
      <t>350.14</t>
    </r>
    <r>
      <rPr>
        <sz val="11"/>
        <color theme="1"/>
        <rFont val="宋体"/>
        <family val="3"/>
        <charset val="134"/>
      </rPr>
      <t>元</t>
    </r>
    <r>
      <rPr>
        <sz val="11"/>
        <color theme="1"/>
        <rFont val="Tahoma"/>
        <family val="2"/>
        <charset val="134"/>
      </rPr>
      <t>(428.2</t>
    </r>
    <r>
      <rPr>
        <sz val="11"/>
        <color theme="1"/>
        <rFont val="宋体"/>
        <family val="3"/>
        <charset val="134"/>
      </rPr>
      <t>港元</t>
    </r>
    <r>
      <rPr>
        <sz val="11"/>
        <color theme="1"/>
        <rFont val="Tahoma"/>
        <family val="2"/>
        <charset val="134"/>
      </rPr>
      <t>)</t>
    </r>
    <phoneticPr fontId="1" type="noConversion"/>
  </si>
  <si>
    <t>五粮液</t>
    <phoneticPr fontId="1" type="noConversion"/>
  </si>
  <si>
    <r>
      <t>10.7</t>
    </r>
    <r>
      <rPr>
        <sz val="11"/>
        <color theme="1"/>
        <rFont val="宋体"/>
        <family val="3"/>
        <charset val="134"/>
      </rPr>
      <t>元</t>
    </r>
    <r>
      <rPr>
        <sz val="11"/>
        <color theme="1"/>
        <rFont val="Tahoma"/>
        <family val="2"/>
        <charset val="134"/>
      </rPr>
      <t>(13.22</t>
    </r>
    <r>
      <rPr>
        <sz val="11"/>
        <color theme="1"/>
        <rFont val="宋体"/>
        <family val="3"/>
        <charset val="134"/>
      </rPr>
      <t>港元</t>
    </r>
    <r>
      <rPr>
        <sz val="11"/>
        <color theme="1"/>
        <rFont val="Tahoma"/>
        <family val="2"/>
        <charset val="134"/>
      </rPr>
      <t>)</t>
    </r>
    <phoneticPr fontId="1" type="noConversion"/>
  </si>
  <si>
    <r>
      <t>247.05</t>
    </r>
    <r>
      <rPr>
        <sz val="11"/>
        <color theme="1"/>
        <rFont val="宋体"/>
        <family val="3"/>
        <charset val="134"/>
      </rPr>
      <t>元</t>
    </r>
    <r>
      <rPr>
        <sz val="11"/>
        <color theme="1"/>
        <rFont val="Tahoma"/>
        <family val="2"/>
        <charset val="134"/>
      </rPr>
      <t>(303.2</t>
    </r>
    <r>
      <rPr>
        <sz val="11"/>
        <color theme="1"/>
        <rFont val="宋体"/>
        <family val="3"/>
        <charset val="134"/>
      </rPr>
      <t>港币</t>
    </r>
    <r>
      <rPr>
        <sz val="11"/>
        <color theme="1"/>
        <rFont val="Tahoma"/>
        <family val="2"/>
        <charset val="134"/>
      </rPr>
      <t>)</t>
    </r>
    <phoneticPr fontId="1" type="noConversion"/>
  </si>
  <si>
    <t>分红</t>
    <phoneticPr fontId="1" type="noConversion"/>
  </si>
  <si>
    <t>分红</t>
    <phoneticPr fontId="1" type="noConversion"/>
  </si>
  <si>
    <t xml:space="preserve">                                                                                </t>
    <phoneticPr fontId="1" type="noConversion"/>
  </si>
  <si>
    <r>
      <t>283.9</t>
    </r>
    <r>
      <rPr>
        <sz val="11"/>
        <color theme="1"/>
        <rFont val="宋体"/>
        <family val="3"/>
        <charset val="134"/>
      </rPr>
      <t>元</t>
    </r>
    <r>
      <rPr>
        <sz val="11"/>
        <color theme="1"/>
        <rFont val="Tahoma"/>
        <family val="2"/>
        <charset val="134"/>
      </rPr>
      <t>(330</t>
    </r>
    <r>
      <rPr>
        <sz val="11"/>
        <color theme="1"/>
        <rFont val="宋体"/>
        <family val="3"/>
        <charset val="134"/>
      </rPr>
      <t>港币</t>
    </r>
    <r>
      <rPr>
        <sz val="11"/>
        <color theme="1"/>
        <rFont val="Tahoma"/>
        <family val="2"/>
        <charset val="134"/>
      </rPr>
      <t>)</t>
    </r>
    <phoneticPr fontId="1" type="noConversion"/>
  </si>
  <si>
    <r>
      <t>199.25</t>
    </r>
    <r>
      <rPr>
        <sz val="11"/>
        <color theme="1"/>
        <rFont val="宋体"/>
        <family val="3"/>
        <charset val="134"/>
      </rPr>
      <t>元</t>
    </r>
    <r>
      <rPr>
        <sz val="11"/>
        <color theme="1"/>
        <rFont val="Tahoma"/>
        <family val="2"/>
        <charset val="134"/>
      </rPr>
      <t>(215.2</t>
    </r>
    <r>
      <rPr>
        <sz val="11"/>
        <color theme="1"/>
        <rFont val="宋体"/>
        <family val="3"/>
        <charset val="134"/>
      </rPr>
      <t>港币</t>
    </r>
    <r>
      <rPr>
        <sz val="11"/>
        <color theme="1"/>
        <rFont val="Tahoma"/>
        <family val="2"/>
        <charset val="134"/>
      </rPr>
      <t>)</t>
    </r>
    <phoneticPr fontId="1" type="noConversion"/>
  </si>
  <si>
    <t>分红</t>
    <phoneticPr fontId="1" type="noConversion"/>
  </si>
  <si>
    <t>成本</t>
    <phoneticPr fontId="1" type="noConversion"/>
  </si>
</sst>
</file>

<file path=xl/styles.xml><?xml version="1.0" encoding="utf-8"?>
<styleSheet xmlns="http://schemas.openxmlformats.org/spreadsheetml/2006/main">
  <fonts count="9">
    <font>
      <sz val="11"/>
      <color theme="1"/>
      <name val="Tahoma"/>
      <family val="2"/>
      <charset val="134"/>
    </font>
    <font>
      <sz val="9"/>
      <name val="Tahoma"/>
      <family val="2"/>
      <charset val="134"/>
    </font>
    <font>
      <sz val="11"/>
      <color theme="1"/>
      <name val="宋体"/>
      <family val="3"/>
      <charset val="134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宋体"/>
      <family val="3"/>
      <charset val="134"/>
    </font>
    <font>
      <b/>
      <sz val="11"/>
      <color theme="1"/>
      <name val="Tahoma"/>
      <family val="2"/>
    </font>
    <font>
      <b/>
      <sz val="11"/>
      <color theme="1"/>
      <name val="宋体"/>
      <family val="3"/>
      <charset val="134"/>
    </font>
    <font>
      <b/>
      <sz val="11"/>
      <color theme="1"/>
      <name val="Tahoma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right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quotePrefix="1" applyNumberFormat="1"/>
    <xf numFmtId="0" fontId="0" fillId="0" borderId="0" xfId="0" quotePrefix="1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M49"/>
  <sheetViews>
    <sheetView tabSelected="1" workbookViewId="0">
      <pane xSplit="2" ySplit="33" topLeftCell="BA46" activePane="bottomRight" state="frozen"/>
      <selection pane="topRight" activeCell="C1" sqref="C1"/>
      <selection pane="bottomLeft" activeCell="A30" sqref="A30"/>
      <selection pane="bottomRight" activeCell="BN27" sqref="BN27"/>
    </sheetView>
  </sheetViews>
  <sheetFormatPr defaultRowHeight="14.25"/>
  <cols>
    <col min="3" max="3" width="18.125" customWidth="1"/>
    <col min="4" max="4" width="17.25" customWidth="1"/>
    <col min="5" max="5" width="16" customWidth="1"/>
    <col min="6" max="6" width="18.5" customWidth="1"/>
    <col min="7" max="7" width="19.5" customWidth="1"/>
    <col min="8" max="8" width="21.375" customWidth="1"/>
    <col min="9" max="9" width="15.5" customWidth="1"/>
    <col min="10" max="10" width="15.75" customWidth="1"/>
    <col min="11" max="11" width="15.875" customWidth="1"/>
    <col min="12" max="12" width="17.875" customWidth="1"/>
    <col min="13" max="13" width="17.375" customWidth="1"/>
    <col min="14" max="14" width="17.25" customWidth="1"/>
    <col min="15" max="20" width="17.625" customWidth="1"/>
    <col min="21" max="21" width="12" customWidth="1"/>
    <col min="22" max="22" width="16.75" customWidth="1"/>
    <col min="23" max="60" width="18.75" customWidth="1"/>
    <col min="61" max="61" width="12" customWidth="1"/>
  </cols>
  <sheetData>
    <row r="1" spans="1:63" s="2" customFormat="1">
      <c r="C1" s="2">
        <v>20211015</v>
      </c>
      <c r="D1" s="2">
        <v>20211018</v>
      </c>
      <c r="E1" s="2">
        <v>20211027</v>
      </c>
      <c r="F1" s="2">
        <v>20211029</v>
      </c>
      <c r="G1" s="2">
        <v>20211102</v>
      </c>
      <c r="H1" s="2">
        <v>20211110</v>
      </c>
      <c r="I1" s="2">
        <v>20211124</v>
      </c>
      <c r="J1" s="2">
        <v>20211126</v>
      </c>
      <c r="K1" s="2">
        <v>20211129</v>
      </c>
      <c r="L1" s="2">
        <v>20211130</v>
      </c>
      <c r="M1" s="2">
        <v>20211206</v>
      </c>
      <c r="N1" s="2">
        <v>20211214</v>
      </c>
      <c r="O1" s="2">
        <v>20211215</v>
      </c>
      <c r="P1" s="2">
        <v>20211220</v>
      </c>
      <c r="Q1" s="2">
        <v>20211231</v>
      </c>
      <c r="R1" s="2">
        <v>20220106</v>
      </c>
      <c r="S1" s="2">
        <v>20220111</v>
      </c>
      <c r="T1" s="2">
        <v>20220113</v>
      </c>
      <c r="U1" s="2">
        <v>20220128</v>
      </c>
      <c r="V1" s="2">
        <v>20220308</v>
      </c>
      <c r="W1" s="2">
        <v>20220315</v>
      </c>
      <c r="X1" s="2">
        <v>20220407</v>
      </c>
      <c r="Y1" s="2">
        <v>20220425</v>
      </c>
      <c r="Z1" s="2">
        <v>20220607</v>
      </c>
      <c r="AA1" s="2">
        <v>20220617</v>
      </c>
      <c r="AB1" s="2">
        <v>20220621</v>
      </c>
      <c r="AC1" s="2">
        <v>20220628</v>
      </c>
      <c r="AD1" s="2">
        <v>20220707</v>
      </c>
      <c r="AE1" s="2">
        <v>20220715</v>
      </c>
      <c r="AF1" s="2">
        <v>20220802</v>
      </c>
      <c r="AG1" s="2">
        <v>20220804</v>
      </c>
      <c r="AH1" s="2">
        <v>20221019</v>
      </c>
      <c r="AI1" s="2">
        <v>20221026</v>
      </c>
      <c r="AJ1" s="2">
        <v>20221031</v>
      </c>
      <c r="AK1" s="2">
        <v>20230110</v>
      </c>
      <c r="AL1" s="2">
        <v>20230224</v>
      </c>
      <c r="AM1" s="2">
        <v>20230525</v>
      </c>
      <c r="AN1" s="2">
        <v>20230531</v>
      </c>
      <c r="AO1" s="2">
        <v>20230606</v>
      </c>
      <c r="AP1" s="2">
        <v>20230613</v>
      </c>
      <c r="AQ1" s="2">
        <v>20230620</v>
      </c>
      <c r="AR1" s="2">
        <v>20230626</v>
      </c>
      <c r="AS1" s="2">
        <v>20230808</v>
      </c>
      <c r="AT1" s="2">
        <v>20240423</v>
      </c>
      <c r="AU1" s="2">
        <v>20240424</v>
      </c>
      <c r="AV1" s="2">
        <v>20240425</v>
      </c>
      <c r="AW1" s="2">
        <v>20240603</v>
      </c>
      <c r="AX1" s="2">
        <v>20240625</v>
      </c>
      <c r="AY1" s="2">
        <v>20240627</v>
      </c>
      <c r="AZ1" s="2">
        <v>20240711</v>
      </c>
      <c r="BA1" s="2">
        <v>20240725</v>
      </c>
      <c r="BB1" s="2">
        <v>20240827</v>
      </c>
      <c r="BC1" s="2">
        <v>20241017</v>
      </c>
      <c r="BD1" s="2">
        <v>20241022</v>
      </c>
      <c r="BE1" s="2">
        <v>20250116</v>
      </c>
      <c r="BF1" s="2">
        <v>20250122</v>
      </c>
      <c r="BG1" s="2">
        <v>20250124</v>
      </c>
      <c r="BH1" s="2">
        <v>20240207</v>
      </c>
      <c r="BJ1" s="3" t="s">
        <v>34</v>
      </c>
      <c r="BK1" s="3" t="s">
        <v>28</v>
      </c>
    </row>
    <row r="2" spans="1:63">
      <c r="A2" s="11" t="s">
        <v>0</v>
      </c>
      <c r="B2" s="3" t="s">
        <v>1</v>
      </c>
      <c r="D2">
        <v>4985.1000000000004</v>
      </c>
      <c r="H2">
        <v>9725.19</v>
      </c>
      <c r="BJ2">
        <f>SUM(C2:BI2)</f>
        <v>14710.29</v>
      </c>
    </row>
    <row r="3" spans="1:63">
      <c r="A3" s="11"/>
      <c r="B3" s="3" t="s">
        <v>2</v>
      </c>
      <c r="D3">
        <v>49.8</v>
      </c>
      <c r="H3">
        <v>48.6</v>
      </c>
    </row>
    <row r="4" spans="1:63">
      <c r="A4" s="11"/>
      <c r="B4" s="3" t="s">
        <v>3</v>
      </c>
      <c r="D4">
        <v>100</v>
      </c>
      <c r="H4">
        <v>200</v>
      </c>
    </row>
    <row r="5" spans="1:63">
      <c r="A5" s="11"/>
      <c r="B5" s="3" t="s">
        <v>4</v>
      </c>
      <c r="D5">
        <v>5.0999999999999996</v>
      </c>
      <c r="H5">
        <v>5.19</v>
      </c>
    </row>
    <row r="6" spans="1:63">
      <c r="A6" s="5"/>
      <c r="B6" s="3" t="s">
        <v>23</v>
      </c>
      <c r="AA6">
        <v>450</v>
      </c>
      <c r="AH6">
        <v>276</v>
      </c>
      <c r="AP6">
        <v>450</v>
      </c>
      <c r="BA6">
        <v>450</v>
      </c>
      <c r="BC6">
        <v>279</v>
      </c>
      <c r="BK6">
        <f>SUM(C6:BJ6)</f>
        <v>1905</v>
      </c>
    </row>
    <row r="7" spans="1:63">
      <c r="A7" s="3"/>
      <c r="B7" s="4"/>
    </row>
    <row r="8" spans="1:63">
      <c r="A8" s="10" t="s">
        <v>5</v>
      </c>
      <c r="B8" s="3" t="s">
        <v>1</v>
      </c>
      <c r="C8">
        <v>10394.36</v>
      </c>
      <c r="H8">
        <v>9912.27</v>
      </c>
      <c r="I8">
        <v>16065.79</v>
      </c>
      <c r="N8">
        <v>9132.6</v>
      </c>
      <c r="V8">
        <v>2149.6799999999998</v>
      </c>
      <c r="BH8">
        <v>-39936.93</v>
      </c>
      <c r="BJ8">
        <f>SUM(C8:BI8)</f>
        <v>7717.7699999999968</v>
      </c>
    </row>
    <row r="9" spans="1:63">
      <c r="A9" s="10"/>
      <c r="B9" s="3" t="s">
        <v>2</v>
      </c>
      <c r="C9" s="1" t="s">
        <v>12</v>
      </c>
      <c r="H9" s="1" t="s">
        <v>13</v>
      </c>
      <c r="I9" t="s">
        <v>14</v>
      </c>
      <c r="N9" t="s">
        <v>19</v>
      </c>
      <c r="V9" t="s">
        <v>26</v>
      </c>
      <c r="BH9">
        <v>40</v>
      </c>
    </row>
    <row r="10" spans="1:63">
      <c r="A10" s="10"/>
      <c r="B10" s="3" t="s">
        <v>3</v>
      </c>
      <c r="C10">
        <v>600</v>
      </c>
      <c r="H10">
        <v>600</v>
      </c>
      <c r="I10">
        <v>1000</v>
      </c>
      <c r="N10">
        <v>600</v>
      </c>
      <c r="V10">
        <v>200</v>
      </c>
      <c r="BH10">
        <v>-1000</v>
      </c>
    </row>
    <row r="11" spans="1:63">
      <c r="A11" s="10"/>
      <c r="B11" s="3" t="s">
        <v>4</v>
      </c>
      <c r="C11">
        <v>21.93</v>
      </c>
      <c r="H11">
        <v>20.69</v>
      </c>
      <c r="I11">
        <v>32.57</v>
      </c>
      <c r="N11">
        <v>19.350000000000001</v>
      </c>
      <c r="V11">
        <v>9.86</v>
      </c>
      <c r="BH11">
        <v>69.55</v>
      </c>
    </row>
    <row r="12" spans="1:63">
      <c r="A12" s="3"/>
      <c r="B12" s="4"/>
    </row>
    <row r="13" spans="1:63">
      <c r="A13" s="10" t="s">
        <v>6</v>
      </c>
      <c r="B13" s="3" t="s">
        <v>1</v>
      </c>
      <c r="E13">
        <v>21278</v>
      </c>
      <c r="I13">
        <v>11365</v>
      </c>
      <c r="L13">
        <v>7716</v>
      </c>
      <c r="Y13">
        <v>5355</v>
      </c>
      <c r="AJ13">
        <v>3429</v>
      </c>
      <c r="AT13">
        <v>-52611.29</v>
      </c>
      <c r="BJ13">
        <f>SUM(C13:BI13)</f>
        <v>-3468.2900000000009</v>
      </c>
    </row>
    <row r="14" spans="1:63">
      <c r="A14" s="10"/>
      <c r="B14" s="3" t="s">
        <v>2</v>
      </c>
      <c r="E14">
        <v>7.09</v>
      </c>
      <c r="I14">
        <v>7.1</v>
      </c>
      <c r="L14">
        <v>7.01</v>
      </c>
      <c r="Y14">
        <v>5.35</v>
      </c>
      <c r="AJ14">
        <v>4.28</v>
      </c>
      <c r="AT14">
        <v>7.02</v>
      </c>
    </row>
    <row r="15" spans="1:63">
      <c r="A15" s="10"/>
      <c r="B15" s="3" t="s">
        <v>3</v>
      </c>
      <c r="E15">
        <v>3000</v>
      </c>
      <c r="I15">
        <v>1600</v>
      </c>
      <c r="L15">
        <v>1100</v>
      </c>
      <c r="Y15">
        <v>1000</v>
      </c>
      <c r="AJ15">
        <v>800</v>
      </c>
      <c r="AT15" s="8">
        <v>-7500</v>
      </c>
    </row>
    <row r="16" spans="1:63">
      <c r="A16" s="10"/>
      <c r="B16" s="3" t="s">
        <v>4</v>
      </c>
      <c r="E16">
        <v>10</v>
      </c>
      <c r="I16">
        <v>5</v>
      </c>
      <c r="L16">
        <v>5</v>
      </c>
      <c r="Y16">
        <v>5</v>
      </c>
      <c r="AJ16">
        <v>5</v>
      </c>
      <c r="AT16" s="9">
        <v>38.700000000000003</v>
      </c>
    </row>
    <row r="17" spans="1:63">
      <c r="A17" s="10"/>
      <c r="B17" s="3" t="s">
        <v>33</v>
      </c>
      <c r="AF17">
        <v>871</v>
      </c>
      <c r="AK17">
        <v>1050</v>
      </c>
      <c r="BK17">
        <f>SUM(C17:BJ17)</f>
        <v>1921</v>
      </c>
    </row>
    <row r="18" spans="1:63">
      <c r="A18" s="3"/>
      <c r="B18" s="4"/>
    </row>
    <row r="19" spans="1:63">
      <c r="A19" s="10" t="s">
        <v>7</v>
      </c>
      <c r="B19" s="3" t="s">
        <v>1</v>
      </c>
      <c r="F19">
        <v>39797.839999999997</v>
      </c>
      <c r="G19">
        <v>38388</v>
      </c>
      <c r="J19">
        <v>114332.77</v>
      </c>
      <c r="K19">
        <v>75956.17</v>
      </c>
      <c r="L19">
        <v>37453.65</v>
      </c>
      <c r="M19">
        <v>36891.230000000003</v>
      </c>
      <c r="O19">
        <v>37233.24</v>
      </c>
      <c r="P19">
        <v>35682.17</v>
      </c>
      <c r="R19">
        <v>35088.51</v>
      </c>
      <c r="W19">
        <v>24756.44</v>
      </c>
      <c r="AE19">
        <v>28449.95</v>
      </c>
      <c r="AI19">
        <v>19968.43</v>
      </c>
      <c r="AU19">
        <v>-9341</v>
      </c>
      <c r="AV19">
        <v>-9732</v>
      </c>
      <c r="BJ19">
        <f>SUM(C19:BI19)</f>
        <v>504925.39999999997</v>
      </c>
    </row>
    <row r="20" spans="1:63">
      <c r="A20" s="10"/>
      <c r="B20" s="3" t="s">
        <v>2</v>
      </c>
      <c r="F20" s="1" t="s">
        <v>9</v>
      </c>
      <c r="G20" s="1" t="s">
        <v>10</v>
      </c>
      <c r="J20" t="s">
        <v>15</v>
      </c>
      <c r="K20" t="s">
        <v>16</v>
      </c>
      <c r="L20" t="s">
        <v>17</v>
      </c>
      <c r="M20" t="s">
        <v>18</v>
      </c>
      <c r="O20" t="s">
        <v>20</v>
      </c>
      <c r="P20" t="s">
        <v>21</v>
      </c>
      <c r="R20" t="s">
        <v>24</v>
      </c>
      <c r="W20" t="s">
        <v>27</v>
      </c>
      <c r="AE20" s="1" t="s">
        <v>31</v>
      </c>
      <c r="AF20" s="1"/>
      <c r="AG20" s="1"/>
      <c r="AH20" s="1"/>
      <c r="AI20" s="1" t="s">
        <v>32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</row>
    <row r="21" spans="1:63">
      <c r="A21" s="10"/>
      <c r="B21" s="3" t="s">
        <v>3</v>
      </c>
      <c r="F21">
        <v>100</v>
      </c>
      <c r="G21">
        <v>100</v>
      </c>
      <c r="J21">
        <v>300</v>
      </c>
      <c r="K21">
        <v>200</v>
      </c>
      <c r="L21">
        <v>100</v>
      </c>
      <c r="M21">
        <v>100</v>
      </c>
      <c r="O21">
        <v>100</v>
      </c>
      <c r="P21">
        <v>100</v>
      </c>
      <c r="R21">
        <v>100</v>
      </c>
      <c r="W21">
        <v>100</v>
      </c>
      <c r="AE21">
        <v>100</v>
      </c>
      <c r="AI21">
        <v>100</v>
      </c>
    </row>
    <row r="22" spans="1:63">
      <c r="A22" s="10"/>
      <c r="B22" s="3" t="s">
        <v>4</v>
      </c>
      <c r="F22">
        <v>77.27</v>
      </c>
      <c r="G22">
        <v>74.78</v>
      </c>
      <c r="J22">
        <v>220.92</v>
      </c>
      <c r="K22">
        <v>146.34</v>
      </c>
      <c r="L22">
        <v>73.16</v>
      </c>
      <c r="M22">
        <v>71.98</v>
      </c>
      <c r="O22">
        <v>72.900000000000006</v>
      </c>
      <c r="P22">
        <v>69.650000000000006</v>
      </c>
      <c r="R22">
        <v>68.45</v>
      </c>
      <c r="W22">
        <v>49.04</v>
      </c>
      <c r="AE22">
        <v>55.75</v>
      </c>
      <c r="AI22">
        <v>39.74</v>
      </c>
      <c r="AU22">
        <v>19</v>
      </c>
      <c r="AV22">
        <v>13</v>
      </c>
    </row>
    <row r="23" spans="1:63">
      <c r="A23" s="6"/>
      <c r="B23" s="3" t="s">
        <v>28</v>
      </c>
      <c r="Z23">
        <v>1603</v>
      </c>
      <c r="AO23">
        <v>2606.4</v>
      </c>
      <c r="AU23">
        <v>125.66</v>
      </c>
      <c r="AW23">
        <v>3781.75</v>
      </c>
      <c r="BK23">
        <f>SUM(C23:BJ23)</f>
        <v>8116.8099999999995</v>
      </c>
    </row>
    <row r="24" spans="1:63">
      <c r="A24" s="3"/>
      <c r="B24" s="4"/>
    </row>
    <row r="25" spans="1:63">
      <c r="A25" s="10" t="s">
        <v>8</v>
      </c>
      <c r="B25" s="3" t="s">
        <v>1</v>
      </c>
      <c r="G25">
        <v>1185.02</v>
      </c>
      <c r="BJ25">
        <f>SUM(G25)</f>
        <v>1185.02</v>
      </c>
    </row>
    <row r="26" spans="1:63">
      <c r="A26" s="10"/>
      <c r="B26" s="3" t="s">
        <v>2</v>
      </c>
      <c r="G26">
        <v>11.8</v>
      </c>
    </row>
    <row r="27" spans="1:63">
      <c r="A27" s="10"/>
      <c r="B27" s="3" t="s">
        <v>3</v>
      </c>
      <c r="G27">
        <v>5.0199999999999996</v>
      </c>
    </row>
    <row r="28" spans="1:63">
      <c r="A28" s="10"/>
      <c r="B28" s="3" t="s">
        <v>4</v>
      </c>
    </row>
    <row r="29" spans="1:63">
      <c r="A29" s="7"/>
      <c r="B29" s="3" t="s">
        <v>29</v>
      </c>
      <c r="AD29">
        <v>135</v>
      </c>
      <c r="AY29">
        <v>131.5</v>
      </c>
      <c r="BD29">
        <v>10.9</v>
      </c>
      <c r="BE29">
        <v>10.3</v>
      </c>
      <c r="BK29">
        <f>SUM(C29:BJ29)</f>
        <v>287.7</v>
      </c>
    </row>
    <row r="30" spans="1:63">
      <c r="B30" s="4"/>
    </row>
    <row r="31" spans="1:63">
      <c r="A31" s="10" t="s">
        <v>11</v>
      </c>
      <c r="B31" s="3" t="s">
        <v>1</v>
      </c>
      <c r="H31">
        <v>10295</v>
      </c>
      <c r="BJ31">
        <f>SUM(C31:BI31)</f>
        <v>10295</v>
      </c>
    </row>
    <row r="32" spans="1:63">
      <c r="A32" s="10"/>
      <c r="B32" s="3" t="s">
        <v>2</v>
      </c>
      <c r="H32">
        <v>34.299999999999997</v>
      </c>
    </row>
    <row r="33" spans="1:65">
      <c r="A33" s="10"/>
      <c r="B33" s="3" t="s">
        <v>3</v>
      </c>
      <c r="H33">
        <v>300</v>
      </c>
    </row>
    <row r="34" spans="1:65">
      <c r="A34" s="10"/>
      <c r="B34" s="3" t="s">
        <v>4</v>
      </c>
      <c r="H34">
        <v>5</v>
      </c>
    </row>
    <row r="35" spans="1:65">
      <c r="A35" s="6"/>
      <c r="B35" s="3" t="s">
        <v>28</v>
      </c>
      <c r="X35">
        <v>300</v>
      </c>
      <c r="AG35">
        <v>600</v>
      </c>
      <c r="AL35">
        <v>300</v>
      </c>
      <c r="AS35">
        <v>300</v>
      </c>
      <c r="BK35">
        <f>SUM(C35:BJ35)</f>
        <v>1500</v>
      </c>
    </row>
    <row r="37" spans="1:65">
      <c r="A37" s="10" t="s">
        <v>22</v>
      </c>
      <c r="B37" s="3" t="s">
        <v>1</v>
      </c>
      <c r="Q37">
        <v>16606</v>
      </c>
      <c r="S37">
        <v>16315</v>
      </c>
      <c r="T37">
        <v>15687</v>
      </c>
      <c r="AM37">
        <v>13855</v>
      </c>
      <c r="AN37">
        <v>13515</v>
      </c>
      <c r="BJ37">
        <f>SUM(C37:BI37)</f>
        <v>75978</v>
      </c>
    </row>
    <row r="38" spans="1:65">
      <c r="A38" s="10"/>
      <c r="B38" s="3" t="s">
        <v>2</v>
      </c>
      <c r="Q38">
        <v>166.01</v>
      </c>
      <c r="S38">
        <v>163.1</v>
      </c>
      <c r="T38">
        <v>156.82</v>
      </c>
      <c r="AM38">
        <v>138.5</v>
      </c>
      <c r="AN38">
        <v>135.1</v>
      </c>
    </row>
    <row r="39" spans="1:65">
      <c r="A39" s="10"/>
      <c r="B39" s="3" t="s">
        <v>3</v>
      </c>
      <c r="Q39">
        <v>100</v>
      </c>
      <c r="S39">
        <v>100</v>
      </c>
      <c r="T39">
        <v>100</v>
      </c>
      <c r="AM39">
        <v>100</v>
      </c>
      <c r="AN39">
        <v>100</v>
      </c>
    </row>
    <row r="40" spans="1:65">
      <c r="A40" s="10"/>
      <c r="B40" s="3" t="s">
        <v>4</v>
      </c>
      <c r="Q40">
        <v>5</v>
      </c>
      <c r="S40">
        <v>5</v>
      </c>
      <c r="T40">
        <v>5</v>
      </c>
      <c r="AM40">
        <v>5</v>
      </c>
      <c r="AN40">
        <v>5</v>
      </c>
    </row>
    <row r="41" spans="1:65">
      <c r="A41" s="6"/>
      <c r="B41" s="3" t="s">
        <v>28</v>
      </c>
      <c r="AB41">
        <v>900</v>
      </c>
      <c r="AQ41">
        <v>1870</v>
      </c>
      <c r="AX41">
        <v>2330</v>
      </c>
      <c r="BB41">
        <v>714</v>
      </c>
      <c r="BG41">
        <v>1165</v>
      </c>
      <c r="BK41">
        <f>SUM(C41:BJ41)</f>
        <v>6979</v>
      </c>
    </row>
    <row r="43" spans="1:65">
      <c r="A43" s="10" t="s">
        <v>25</v>
      </c>
      <c r="B43" s="3" t="s">
        <v>1</v>
      </c>
      <c r="U43">
        <v>19915</v>
      </c>
      <c r="BJ43">
        <f>SUM(C43:BI43)</f>
        <v>19915</v>
      </c>
    </row>
    <row r="44" spans="1:65">
      <c r="A44" s="10"/>
      <c r="B44" s="3" t="s">
        <v>2</v>
      </c>
      <c r="U44">
        <v>199.1</v>
      </c>
    </row>
    <row r="45" spans="1:65">
      <c r="A45" s="10"/>
      <c r="B45" s="3" t="s">
        <v>3</v>
      </c>
      <c r="U45">
        <v>100</v>
      </c>
    </row>
    <row r="46" spans="1:65">
      <c r="A46" s="10"/>
      <c r="B46" s="3" t="s">
        <v>4</v>
      </c>
      <c r="U46">
        <v>5</v>
      </c>
    </row>
    <row r="47" spans="1:65">
      <c r="A47" s="7"/>
      <c r="B47" s="3" t="s">
        <v>29</v>
      </c>
      <c r="AC47">
        <v>302</v>
      </c>
      <c r="AR47">
        <v>378.2</v>
      </c>
      <c r="AZ47">
        <v>467</v>
      </c>
      <c r="BF47">
        <v>257.60000000000002</v>
      </c>
      <c r="BK47">
        <f>SUM(C47:BJ47)</f>
        <v>1404.8000000000002</v>
      </c>
      <c r="BM47" t="s">
        <v>30</v>
      </c>
    </row>
    <row r="49" spans="62:63">
      <c r="BJ49">
        <f>SUM(BJ2:BJ43)</f>
        <v>631258.18999999994</v>
      </c>
      <c r="BK49">
        <f>SUM(BK6:BK47)</f>
        <v>22114.31</v>
      </c>
    </row>
  </sheetData>
  <mergeCells count="8">
    <mergeCell ref="A43:A46"/>
    <mergeCell ref="A37:A40"/>
    <mergeCell ref="A31:A34"/>
    <mergeCell ref="A2:A5"/>
    <mergeCell ref="A8:A11"/>
    <mergeCell ref="A19:A22"/>
    <mergeCell ref="A25:A28"/>
    <mergeCell ref="A13:A17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ray chen</cp:lastModifiedBy>
  <dcterms:created xsi:type="dcterms:W3CDTF">2008-09-11T17:22:52Z</dcterms:created>
  <dcterms:modified xsi:type="dcterms:W3CDTF">2025-02-12T14:54:40Z</dcterms:modified>
</cp:coreProperties>
</file>